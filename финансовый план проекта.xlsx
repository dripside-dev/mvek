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инвестиции" sheetId="1" state="visible" r:id="rId1"/>
    <sheet name="план продаж" sheetId="2" state="visible" r:id="rId2"/>
    <sheet name="себестоимость игры" sheetId="3" state="visible" r:id="rId3"/>
    <sheet name="срок окупаемости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<sst xmlns="http://schemas.openxmlformats.org/spreadsheetml/2006/main" count="53" uniqueCount="53">
  <si>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Потребности и источники финансирования на старт-ап</t>
  </si>
  <si>
    <t xml:space="preserve">Какие могут варианты по источникам финансирования:</t>
  </si>
  <si>
    <t xml:space="preserve">Статья расходов </t>
  </si>
  <si>
    <t xml:space="preserve">количество </t>
  </si>
  <si>
    <t xml:space="preserve">цена </t>
  </si>
  <si>
    <t xml:space="preserve">сумма </t>
  </si>
  <si>
    <t xml:space="preserve">источник финансирования </t>
  </si>
  <si>
    <t xml:space="preserve">собственные средства</t>
  </si>
  <si>
    <t xml:space="preserve">Персональный компьютер </t>
  </si>
  <si>
    <t xml:space="preserve">имеется в наличии</t>
  </si>
  <si>
    <t xml:space="preserve">заемные средства (кредит, ссуда)</t>
  </si>
  <si>
    <t xml:space="preserve">Ноутбук </t>
  </si>
  <si>
    <t xml:space="preserve">беспроцентный займ (средства родителей, родственников, знакомых)</t>
  </si>
  <si>
    <t xml:space="preserve">Подписка на ПО для графики</t>
  </si>
  <si>
    <t xml:space="preserve">собственные средства </t>
  </si>
  <si>
    <t xml:space="preserve">оборудование имеется в наличии</t>
  </si>
  <si>
    <t xml:space="preserve">Реклама на старте</t>
  </si>
  <si>
    <t xml:space="preserve">Лицензия на игровой движок </t>
  </si>
  <si>
    <t xml:space="preserve">Непредвиденные расходы </t>
  </si>
  <si>
    <t xml:space="preserve">Интернет и связь </t>
  </si>
  <si>
    <t xml:space="preserve">Электроэнергия </t>
  </si>
  <si>
    <t xml:space="preserve">Хостинг сайта </t>
  </si>
  <si>
    <t>ИТОГО</t>
  </si>
  <si>
    <t xml:space="preserve">Баланс денежных потоков на 1 год</t>
  </si>
  <si>
    <t xml:space="preserve">Показатель </t>
  </si>
  <si>
    <t xml:space="preserve">1 месяц</t>
  </si>
  <si>
    <t xml:space="preserve">2 месяц</t>
  </si>
  <si>
    <t xml:space="preserve">3 месяц</t>
  </si>
  <si>
    <t xml:space="preserve">4 месяц</t>
  </si>
  <si>
    <t xml:space="preserve">5 месяц</t>
  </si>
  <si>
    <t xml:space="preserve">6 месяц</t>
  </si>
  <si>
    <t xml:space="preserve">7 месяц</t>
  </si>
  <si>
    <t xml:space="preserve">8 месяц</t>
  </si>
  <si>
    <t xml:space="preserve">9 месяц</t>
  </si>
  <si>
    <t xml:space="preserve">10 месяц</t>
  </si>
  <si>
    <t xml:space="preserve">11 месяц</t>
  </si>
  <si>
    <t xml:space="preserve">12 месяц</t>
  </si>
  <si>
    <t xml:space="preserve">ИТОГО за 12 месяцев </t>
  </si>
  <si>
    <t xml:space="preserve">Количество проданных игр, шт</t>
  </si>
  <si>
    <t xml:space="preserve">Цена игры, руб.</t>
  </si>
  <si>
    <t xml:space="preserve">Доход от реализованной продукции</t>
  </si>
  <si>
    <t xml:space="preserve">Текущие затраты и себестоимость игры </t>
  </si>
  <si>
    <t xml:space="preserve">Интернет и связь  </t>
  </si>
  <si>
    <t xml:space="preserve">Реклама  </t>
  </si>
  <si>
    <t xml:space="preserve">Хостинг  </t>
  </si>
  <si>
    <t xml:space="preserve">ИТОГО </t>
  </si>
  <si>
    <t xml:space="preserve">Инвестиции в игру </t>
  </si>
  <si>
    <t xml:space="preserve">Текущие расходы  (сумма за 12 месяцев) </t>
  </si>
  <si>
    <t xml:space="preserve">Количество проданных игр (согласно плана продаж за 12 месяцев)</t>
  </si>
  <si>
    <t xml:space="preserve">Себестоимость одной игры </t>
  </si>
  <si>
    <t xml:space="preserve">Срок окупаемости проекта, лет</t>
  </si>
  <si>
    <t xml:space="preserve">Сумма инвестиций, руб. </t>
  </si>
  <si>
    <t xml:space="preserve">Сумма годового дохода, руб.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</si>
</sst>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.00\ &quot;₽&quot;;[Red]#,##0.00\ &quot;₽&quot;"/>
    <numFmt numFmtId="165" formatCode="#,##0&quot; &quot;&quot;₽&quot;;[Red]#,##0&quot; &quot;&quot;₽&quot;"/>
    <numFmt numFmtId="166" formatCode="#,##0&quot; &quot;[$₽-419]"/>
  </numFmts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5"/>
      </patternFill>
    </fill>
    <fill>
      <patternFill patternType="solid">
        <fgColor indexed="31"/>
      </patternFill>
    </fill>
    <fill>
      <patternFill patternType="solid">
        <fgColor rgb="FFFFC000"/>
      </patternFill>
    </fill>
    <fill>
      <patternFill patternType="solid">
        <fgColor theme="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/>
    </xf>
    <xf fontId="0" fillId="0" borderId="0" numFmtId="0" xfId="0" applyAlignment="1">
      <alignment wrapText="1"/>
    </xf>
    <xf fontId="1" fillId="0" borderId="0" numFmtId="0" xfId="0" applyFont="1" applyAlignment="1">
      <alignment horizontal="left"/>
    </xf>
    <xf fontId="2" fillId="0" borderId="0" numFmtId="0" xfId="0" applyFont="1" applyAlignment="1">
      <alignment wrapText="1"/>
    </xf>
    <xf fontId="2" fillId="2" borderId="1" numFmtId="0" xfId="0" applyFont="1" applyFill="1" applyBorder="1" applyAlignment="1">
      <alignment horizontal="center"/>
    </xf>
    <xf fontId="2" fillId="2" borderId="1" numFmtId="164" xfId="0" applyNumberFormat="1" applyFont="1" applyFill="1" applyBorder="1" applyAlignment="1">
      <alignment horizontal="center"/>
    </xf>
    <xf fontId="0" fillId="0" borderId="0" numFmtId="0" xfId="0" applyAlignment="1">
      <alignment horizontal="left" wrapText="1"/>
    </xf>
    <xf fontId="0" fillId="0" borderId="1" numFmtId="0" xfId="0" applyBorder="1"/>
    <xf fontId="0" fillId="0" borderId="1" numFmtId="0" xfId="0" applyBorder="1" applyAlignment="1">
      <alignment horizontal="center"/>
    </xf>
    <xf fontId="0" fillId="0" borderId="1" numFmtId="164" xfId="0" applyNumberFormat="1" applyBorder="1" applyAlignment="1">
      <alignment horizontal="center"/>
    </xf>
    <xf fontId="3" fillId="0" borderId="0" numFmtId="0" xfId="0" applyFont="1" applyAlignment="1">
      <alignment horizontal="left" wrapText="1"/>
    </xf>
    <xf fontId="0" fillId="0" borderId="1" numFmtId="0" xfId="0" applyBorder="1"/>
    <xf fontId="2" fillId="3" borderId="1" numFmtId="0" xfId="0" applyFont="1" applyFill="1" applyBorder="1"/>
    <xf fontId="2" fillId="3" borderId="1" numFmtId="0" xfId="0" applyFont="1" applyFill="1" applyBorder="1" applyAlignment="1">
      <alignment horizontal="center"/>
    </xf>
    <xf fontId="2" fillId="3" borderId="1" numFmtId="164" xfId="0" applyNumberFormat="1" applyFont="1" applyFill="1" applyBorder="1" applyAlignment="1">
      <alignment horizontal="center"/>
    </xf>
    <xf fontId="2" fillId="0" borderId="0" numFmtId="0" xfId="0" applyFont="1" applyAlignment="1">
      <alignment horizontal="center"/>
    </xf>
    <xf fontId="1" fillId="4" borderId="0" numFmtId="0" xfId="0" applyFont="1" applyFill="1" applyAlignment="1">
      <alignment horizontal="center"/>
    </xf>
    <xf fontId="0" fillId="2" borderId="1" numFmtId="0" xfId="0" applyFill="1" applyBorder="1"/>
    <xf fontId="0" fillId="2" borderId="1" numFmtId="0" xfId="0" applyFill="1" applyBorder="1" applyAlignment="1">
      <alignment horizontal="center"/>
    </xf>
    <xf fontId="2" fillId="0" borderId="1" numFmtId="0" xfId="0" applyFont="1" applyBorder="1" applyAlignment="1">
      <alignment horizontal="center"/>
    </xf>
    <xf fontId="0" fillId="0" borderId="0" numFmtId="0" xfId="0"/>
    <xf fontId="0" fillId="2" borderId="2" numFmtId="0" xfId="0" applyFill="1" applyBorder="1" applyAlignment="1">
      <alignment horizontal="center"/>
    </xf>
    <xf fontId="0" fillId="0" borderId="3" numFmtId="0" xfId="0" applyBorder="1"/>
    <xf fontId="0" fillId="0" borderId="4" numFmtId="0" xfId="0" applyBorder="1" applyAlignment="1">
      <alignment horizontal="center"/>
    </xf>
    <xf fontId="2" fillId="0" borderId="5" numFmtId="0" xfId="0" applyFont="1" applyBorder="1" applyAlignment="1">
      <alignment horizontal="center"/>
    </xf>
    <xf fontId="0" fillId="0" borderId="6" numFmtId="0" xfId="0" applyBorder="1" applyAlignment="1">
      <alignment horizontal="center"/>
    </xf>
    <xf fontId="2" fillId="5" borderId="1" numFmtId="0" xfId="0" applyFont="1" applyFill="1" applyBorder="1"/>
    <xf fontId="0" fillId="6" borderId="1" numFmtId="164" xfId="0" applyNumberFormat="1" applyFill="1" applyBorder="1" applyAlignment="1">
      <alignment horizontal="center"/>
    </xf>
    <xf fontId="0" fillId="6" borderId="1" numFmtId="0" xfId="0" applyFill="1" applyBorder="1" applyAlignment="1">
      <alignment horizontal="center"/>
    </xf>
    <xf fontId="2" fillId="5" borderId="1" numFmtId="0" xfId="0" applyFont="1" applyFill="1" applyBorder="1" applyAlignment="1">
      <alignment wrapText="1"/>
    </xf>
    <xf fontId="0" fillId="5" borderId="1" numFmtId="0" xfId="0" applyFill="1" applyBorder="1" applyAlignment="1">
      <alignment horizontal="center"/>
    </xf>
    <xf fontId="0" fillId="0" borderId="0" numFmtId="0" xfId="0" applyAlignment="1">
      <alignment horizontal="center" wrapText="1"/>
    </xf>
    <xf fontId="2" fillId="3" borderId="1" numFmtId="0" xfId="0" applyFont="1" applyFill="1" applyBorder="1" applyAlignment="1">
      <alignment wrapText="1"/>
    </xf>
    <xf fontId="0" fillId="3" borderId="1" numFmtId="0" xfId="0" applyFill="1" applyBorder="1" applyAlignment="1">
      <alignment horizontal="center" wrapText="1"/>
    </xf>
    <xf fontId="0" fillId="0" borderId="1" numFmtId="0" xfId="0" applyBorder="1" applyAlignment="1">
      <alignment wrapText="1"/>
    </xf>
    <xf fontId="0" fillId="0" borderId="1" numFmtId="165" xfId="0" applyNumberFormat="1" applyBorder="1" applyAlignment="1">
      <alignment horizontal="center" wrapText="1"/>
    </xf>
    <xf fontId="0" fillId="6" borderId="1" numFmtId="0" xfId="0" applyFill="1" applyBorder="1" applyAlignment="1">
      <alignment wrapText="1"/>
    </xf>
    <xf fontId="0" fillId="6" borderId="1" numFmtId="166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5" activeCellId="0" sqref="E15"/>
    </sheetView>
  </sheetViews>
  <sheetFormatPr defaultRowHeight="14.25"/>
  <cols>
    <col customWidth="1" min="1" max="1" width="42.5078125"/>
    <col customWidth="1" min="2" max="2" style="1" width="18.29296875"/>
    <col customWidth="1" min="3" max="3" style="2" width="15.19921875"/>
    <col customWidth="1" min="4" max="4" style="2" width="12.64453125"/>
    <col customWidth="1" min="5" max="5" width="33.08984375"/>
    <col customWidth="1" min="8" max="8" style="3" width="58.515625"/>
  </cols>
  <sheetData>
    <row r="1" ht="18.75">
      <c r="A1" s="4" t="s">
        <v>0</v>
      </c>
      <c r="B1" s="4"/>
      <c r="C1" s="4"/>
      <c r="D1" s="4"/>
      <c r="E1" s="4"/>
      <c r="F1" s="4"/>
      <c r="G1" s="4"/>
      <c r="H1" s="4"/>
      <c r="I1" s="4"/>
    </row>
    <row r="2">
      <c r="H2" s="5" t="s">
        <v>1</v>
      </c>
    </row>
    <row r="3">
      <c r="A3" s="6" t="s">
        <v>2</v>
      </c>
      <c r="B3" s="6" t="s">
        <v>3</v>
      </c>
      <c r="C3" s="7" t="s">
        <v>4</v>
      </c>
      <c r="D3" s="7" t="s">
        <v>5</v>
      </c>
      <c r="E3" s="6" t="s">
        <v>6</v>
      </c>
      <c r="H3" s="8" t="s">
        <v>7</v>
      </c>
    </row>
    <row r="4">
      <c r="A4" s="9" t="s">
        <v>8</v>
      </c>
      <c r="B4" s="10">
        <v>4</v>
      </c>
      <c r="C4" s="11">
        <v>75000</v>
      </c>
      <c r="D4" s="11">
        <f>SUM(B4*C4)</f>
        <v>300000</v>
      </c>
      <c r="E4" s="9" t="s">
        <v>9</v>
      </c>
      <c r="H4" s="8" t="s">
        <v>10</v>
      </c>
    </row>
    <row r="5" ht="20.25" customHeight="1">
      <c r="A5" s="9" t="s">
        <v>11</v>
      </c>
      <c r="B5" s="10">
        <v>2</v>
      </c>
      <c r="C5" s="11">
        <v>40000</v>
      </c>
      <c r="D5" s="11">
        <f t="shared" ref="D5:D7" si="0">SUM(B5*C5)</f>
        <v>80000</v>
      </c>
      <c r="E5" s="9" t="s">
        <v>9</v>
      </c>
      <c r="H5" s="12" t="s">
        <v>12</v>
      </c>
    </row>
    <row r="6">
      <c r="A6" s="13" t="s">
        <v>13</v>
      </c>
      <c r="B6" s="10">
        <v>1</v>
      </c>
      <c r="C6" s="11">
        <v>15000</v>
      </c>
      <c r="D6" s="11">
        <f t="shared" si="0"/>
        <v>15000</v>
      </c>
      <c r="E6" s="9" t="s">
        <v>14</v>
      </c>
      <c r="H6" s="8" t="s">
        <v>15</v>
      </c>
    </row>
    <row r="7">
      <c r="A7" s="13" t="s">
        <v>16</v>
      </c>
      <c r="B7" s="10">
        <v>1</v>
      </c>
      <c r="C7" s="11">
        <v>30000</v>
      </c>
      <c r="D7" s="11">
        <f t="shared" si="0"/>
        <v>30000</v>
      </c>
      <c r="E7" s="9" t="s">
        <v>14</v>
      </c>
      <c r="H7" s="8"/>
    </row>
    <row r="8">
      <c r="A8" s="9" t="s">
        <v>17</v>
      </c>
      <c r="B8" s="10">
        <v>1</v>
      </c>
      <c r="C8" s="11">
        <v>0</v>
      </c>
      <c r="D8" s="11">
        <f t="shared" ref="D8:D12" si="1">SUM(B8*C8)</f>
        <v>0</v>
      </c>
      <c r="E8" s="9" t="s">
        <v>9</v>
      </c>
      <c r="H8" s="8"/>
    </row>
    <row r="9">
      <c r="A9" s="9" t="s">
        <v>18</v>
      </c>
      <c r="B9" s="10">
        <v>1</v>
      </c>
      <c r="C9" s="11">
        <v>50000</v>
      </c>
      <c r="D9" s="11">
        <f t="shared" si="1"/>
        <v>50000</v>
      </c>
      <c r="E9" s="9" t="s">
        <v>14</v>
      </c>
      <c r="H9" s="8"/>
    </row>
    <row r="10">
      <c r="A10" s="9" t="s">
        <v>19</v>
      </c>
      <c r="B10" s="10">
        <v>12</v>
      </c>
      <c r="C10" s="11">
        <v>700</v>
      </c>
      <c r="D10" s="11">
        <f t="shared" si="1"/>
        <v>8400</v>
      </c>
      <c r="E10" s="9" t="s">
        <v>14</v>
      </c>
    </row>
    <row r="11">
      <c r="A11" s="13" t="s">
        <v>20</v>
      </c>
      <c r="B11" s="10">
        <v>12</v>
      </c>
      <c r="C11" s="11">
        <v>2400</v>
      </c>
      <c r="D11" s="11">
        <f t="shared" si="1"/>
        <v>28800</v>
      </c>
      <c r="E11" s="9" t="s">
        <v>14</v>
      </c>
    </row>
    <row r="12">
      <c r="A12" s="9" t="s">
        <v>21</v>
      </c>
      <c r="B12" s="10">
        <v>12</v>
      </c>
      <c r="C12" s="11">
        <v>3500</v>
      </c>
      <c r="D12" s="11">
        <f t="shared" si="1"/>
        <v>42000</v>
      </c>
      <c r="E12" s="9" t="s">
        <v>14</v>
      </c>
    </row>
    <row r="13">
      <c r="A13" s="14" t="s">
        <v>22</v>
      </c>
      <c r="B13" s="15"/>
      <c r="C13" s="16"/>
      <c r="D13" s="16">
        <f>SUM(D4:D12)</f>
        <v>554200</v>
      </c>
      <c r="E13" s="14"/>
    </row>
    <row r="14">
      <c r="D14" s="2"/>
    </row>
    <row r="15">
      <c r="B15" s="1"/>
      <c r="C15" s="2"/>
      <c r="D15" s="2"/>
    </row>
    <row r="16">
      <c r="D16" s="2"/>
    </row>
    <row r="17">
      <c r="D17" s="2"/>
    </row>
  </sheetData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5" activeCellId="0" sqref="N5"/>
    </sheetView>
  </sheetViews>
  <sheetFormatPr defaultRowHeight="15"/>
  <cols>
    <col customWidth="1" min="1" max="1" width="42.375"/>
    <col customWidth="1" min="2" max="13" style="1" width="12.64453125"/>
    <col customWidth="1" min="14" max="14" style="17" width="21.38671875"/>
  </cols>
  <sheetData>
    <row r="1" ht="18.75">
      <c r="A1" s="18" t="s">
        <v>23</v>
      </c>
      <c r="B1" s="18"/>
    </row>
    <row r="3">
      <c r="A3" s="19" t="s">
        <v>24</v>
      </c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  <c r="G3" s="20" t="s">
        <v>30</v>
      </c>
      <c r="H3" s="20" t="s">
        <v>31</v>
      </c>
      <c r="I3" s="20" t="s">
        <v>32</v>
      </c>
      <c r="J3" s="20" t="s">
        <v>33</v>
      </c>
      <c r="K3" s="20" t="s">
        <v>34</v>
      </c>
      <c r="L3" s="20" t="s">
        <v>35</v>
      </c>
      <c r="M3" s="20" t="s">
        <v>36</v>
      </c>
      <c r="N3" s="6" t="s">
        <v>37</v>
      </c>
    </row>
    <row r="4">
      <c r="A4" s="9" t="s">
        <v>38</v>
      </c>
      <c r="B4" s="10">
        <v>25</v>
      </c>
      <c r="C4" s="10">
        <v>30</v>
      </c>
      <c r="D4" s="10">
        <v>38</v>
      </c>
      <c r="E4" s="10">
        <v>44</v>
      </c>
      <c r="F4" s="10">
        <v>60</v>
      </c>
      <c r="G4" s="10">
        <v>79</v>
      </c>
      <c r="H4" s="10">
        <v>100</v>
      </c>
      <c r="I4" s="10">
        <v>158</v>
      </c>
      <c r="J4" s="10">
        <v>215</v>
      </c>
      <c r="K4" s="10">
        <v>300</v>
      </c>
      <c r="L4" s="10">
        <v>466</v>
      </c>
      <c r="M4" s="10">
        <v>625</v>
      </c>
      <c r="N4" s="15">
        <f>SUM(B4:M4)</f>
        <v>2140</v>
      </c>
    </row>
    <row r="5">
      <c r="A5" s="9" t="s">
        <v>39</v>
      </c>
      <c r="B5" s="10">
        <v>400</v>
      </c>
      <c r="C5" s="10">
        <v>400</v>
      </c>
      <c r="D5" s="10">
        <v>400</v>
      </c>
      <c r="E5" s="10">
        <v>400</v>
      </c>
      <c r="F5" s="10">
        <v>400</v>
      </c>
      <c r="G5" s="10">
        <v>500</v>
      </c>
      <c r="H5" s="10">
        <v>500</v>
      </c>
      <c r="I5" s="10">
        <v>500</v>
      </c>
      <c r="J5" s="10">
        <v>650</v>
      </c>
      <c r="K5" s="10">
        <v>650</v>
      </c>
      <c r="L5" s="10">
        <v>650</v>
      </c>
      <c r="M5" s="10">
        <v>650</v>
      </c>
      <c r="N5" s="21">
        <f>SUM(B5:M5)</f>
        <v>6100</v>
      </c>
    </row>
    <row r="6">
      <c r="A6" s="14" t="s">
        <v>40</v>
      </c>
      <c r="B6" s="15">
        <f>B5*B4</f>
        <v>10000</v>
      </c>
      <c r="C6" s="15">
        <f t="shared" ref="C6:M6" si="2">C4*C5</f>
        <v>12000</v>
      </c>
      <c r="D6" s="15">
        <f t="shared" si="2"/>
        <v>15200</v>
      </c>
      <c r="E6" s="15">
        <f t="shared" si="2"/>
        <v>17600</v>
      </c>
      <c r="F6" s="15">
        <f t="shared" si="2"/>
        <v>24000</v>
      </c>
      <c r="G6" s="15">
        <f t="shared" si="2"/>
        <v>39500</v>
      </c>
      <c r="H6" s="15">
        <f t="shared" si="2"/>
        <v>50000</v>
      </c>
      <c r="I6" s="15">
        <f t="shared" si="2"/>
        <v>79000</v>
      </c>
      <c r="J6" s="15">
        <f t="shared" si="2"/>
        <v>139750</v>
      </c>
      <c r="K6" s="15">
        <f t="shared" si="2"/>
        <v>195000</v>
      </c>
      <c r="L6" s="15">
        <f t="shared" si="2"/>
        <v>302900</v>
      </c>
      <c r="M6" s="15">
        <f t="shared" si="2"/>
        <v>406250</v>
      </c>
      <c r="N6" s="15">
        <f>SUM(B6:M6)</f>
        <v>1291200</v>
      </c>
    </row>
    <row r="7">
      <c r="A7" s="2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7"/>
    </row>
    <row r="8" s="22" customForma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7"/>
    </row>
    <row r="9" s="22" customForma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7"/>
    </row>
    <row r="10" s="22" customForma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7"/>
    </row>
    <row r="11" s="22" customForma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7"/>
    </row>
    <row r="12" s="22" customForma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7"/>
    </row>
    <row r="13" s="22" customFormat="1" ht="11.2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7"/>
    </row>
    <row r="14" s="22" customForma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7"/>
    </row>
    <row r="15" s="22" customForma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7"/>
    </row>
  </sheetData>
  <mergeCells count="1">
    <mergeCell ref="A1:B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5" activeCellId="0" sqref="B15:C15"/>
    </sheetView>
  </sheetViews>
  <sheetFormatPr defaultRowHeight="14.25"/>
  <cols>
    <col customWidth="1" min="1" max="1" width="42.375"/>
    <col customWidth="1" min="2" max="13" style="1" width="12.64453125"/>
    <col customWidth="1" min="14" max="14" style="17" width="21.38671875"/>
  </cols>
  <sheetData>
    <row r="1" ht="18.75">
      <c r="A1" s="18" t="s">
        <v>41</v>
      </c>
      <c r="B1" s="18"/>
    </row>
    <row r="3">
      <c r="A3" s="19" t="s">
        <v>24</v>
      </c>
      <c r="B3" s="23" t="s">
        <v>25</v>
      </c>
      <c r="C3" s="23" t="s">
        <v>26</v>
      </c>
      <c r="D3" s="23" t="s">
        <v>27</v>
      </c>
      <c r="E3" s="23" t="s">
        <v>28</v>
      </c>
      <c r="F3" s="23" t="s">
        <v>29</v>
      </c>
      <c r="G3" s="23" t="s">
        <v>30</v>
      </c>
      <c r="H3" s="23" t="s">
        <v>31</v>
      </c>
      <c r="I3" s="23" t="s">
        <v>32</v>
      </c>
      <c r="J3" s="23" t="s">
        <v>33</v>
      </c>
      <c r="K3" s="23" t="s">
        <v>34</v>
      </c>
      <c r="L3" s="23" t="s">
        <v>35</v>
      </c>
      <c r="M3" s="23" t="s">
        <v>36</v>
      </c>
      <c r="N3" s="6" t="s">
        <v>37</v>
      </c>
    </row>
    <row r="4">
      <c r="A4" s="24" t="s">
        <v>42</v>
      </c>
      <c r="B4" s="25">
        <v>700</v>
      </c>
      <c r="C4" s="25">
        <v>700</v>
      </c>
      <c r="D4" s="25">
        <v>700</v>
      </c>
      <c r="E4" s="25">
        <v>700</v>
      </c>
      <c r="F4" s="25">
        <v>700</v>
      </c>
      <c r="G4" s="25">
        <v>700</v>
      </c>
      <c r="H4" s="25">
        <v>700</v>
      </c>
      <c r="I4" s="25">
        <v>700</v>
      </c>
      <c r="J4" s="25">
        <v>700</v>
      </c>
      <c r="K4" s="25">
        <v>700</v>
      </c>
      <c r="L4" s="25">
        <v>700</v>
      </c>
      <c r="M4" s="25">
        <v>700</v>
      </c>
      <c r="N4" s="26">
        <f t="shared" ref="N4:N7" si="3">SUM(B4:M4)</f>
        <v>8400</v>
      </c>
    </row>
    <row r="5">
      <c r="A5" s="24" t="s">
        <v>43</v>
      </c>
      <c r="B5" s="25">
        <v>15000</v>
      </c>
      <c r="C5" s="25">
        <v>15000</v>
      </c>
      <c r="D5" s="25">
        <v>15000</v>
      </c>
      <c r="E5" s="25">
        <v>15000</v>
      </c>
      <c r="F5" s="25">
        <v>15000</v>
      </c>
      <c r="G5" s="25">
        <v>15000</v>
      </c>
      <c r="H5" s="25">
        <v>15000</v>
      </c>
      <c r="I5" s="25">
        <v>15000</v>
      </c>
      <c r="J5" s="25">
        <v>15000</v>
      </c>
      <c r="K5" s="25">
        <v>15000</v>
      </c>
      <c r="L5" s="25">
        <v>15000</v>
      </c>
      <c r="M5" s="25">
        <v>15000</v>
      </c>
      <c r="N5" s="26">
        <f t="shared" si="3"/>
        <v>180000</v>
      </c>
    </row>
    <row r="6">
      <c r="A6" s="9" t="s">
        <v>44</v>
      </c>
      <c r="B6" s="27">
        <v>3500</v>
      </c>
      <c r="C6" s="27">
        <v>3500</v>
      </c>
      <c r="D6" s="27">
        <v>3500</v>
      </c>
      <c r="E6" s="27">
        <v>3500</v>
      </c>
      <c r="F6" s="27">
        <v>3500</v>
      </c>
      <c r="G6" s="27">
        <v>3500</v>
      </c>
      <c r="H6" s="27">
        <v>3500</v>
      </c>
      <c r="I6" s="27">
        <v>3500</v>
      </c>
      <c r="J6" s="27">
        <v>3500</v>
      </c>
      <c r="K6" s="27">
        <v>3500</v>
      </c>
      <c r="L6" s="27">
        <v>3500</v>
      </c>
      <c r="M6" s="27">
        <v>3500</v>
      </c>
      <c r="N6" s="21">
        <f t="shared" si="3"/>
        <v>42000</v>
      </c>
    </row>
    <row r="7">
      <c r="A7" s="9" t="s">
        <v>20</v>
      </c>
      <c r="B7" s="10">
        <v>2400</v>
      </c>
      <c r="C7" s="10">
        <v>2400</v>
      </c>
      <c r="D7" s="10">
        <v>2400</v>
      </c>
      <c r="E7" s="10">
        <v>2400</v>
      </c>
      <c r="F7" s="10">
        <v>2400</v>
      </c>
      <c r="G7" s="10">
        <v>2400</v>
      </c>
      <c r="H7" s="10">
        <v>2400</v>
      </c>
      <c r="I7" s="10">
        <v>2400</v>
      </c>
      <c r="J7" s="10">
        <v>2400</v>
      </c>
      <c r="K7" s="10">
        <v>2400</v>
      </c>
      <c r="L7" s="10">
        <v>2400</v>
      </c>
      <c r="M7" s="10">
        <v>2400</v>
      </c>
      <c r="N7" s="21">
        <f t="shared" si="3"/>
        <v>28800</v>
      </c>
    </row>
    <row r="8">
      <c r="A8" s="14" t="s">
        <v>45</v>
      </c>
      <c r="B8" s="15">
        <f>B4+B5+B6+B7</f>
        <v>21600</v>
      </c>
      <c r="C8" s="15">
        <f>C4+C5+C6+C7</f>
        <v>21600</v>
      </c>
      <c r="D8" s="15">
        <f>D4+D5+D6+D7</f>
        <v>21600</v>
      </c>
      <c r="E8" s="15">
        <f>E4+E5+E6+E7</f>
        <v>21600</v>
      </c>
      <c r="F8" s="15">
        <f>F4+F5+F6+F7</f>
        <v>21600</v>
      </c>
      <c r="G8" s="15">
        <f>G4+G5+G6+G7</f>
        <v>21600</v>
      </c>
      <c r="H8" s="15">
        <f>H4+H5+H6+H7</f>
        <v>21600</v>
      </c>
      <c r="I8" s="15">
        <f>I4+I5+I6+I7</f>
        <v>21600</v>
      </c>
      <c r="J8" s="15">
        <f>J4+J5+J6+J7</f>
        <v>21600</v>
      </c>
      <c r="K8" s="15">
        <f>K4+K5+K6+K7</f>
        <v>21600</v>
      </c>
      <c r="L8" s="15">
        <f>L4+L5+L6+L7</f>
        <v>21600</v>
      </c>
      <c r="M8" s="15">
        <f>M4+M5+M6+M7</f>
        <v>21600</v>
      </c>
      <c r="N8" s="15">
        <f>N4+N5+N6+N7</f>
        <v>259200</v>
      </c>
    </row>
    <row r="9">
      <c r="A9" s="2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7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7"/>
    </row>
    <row r="11" s="22" customForma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7"/>
    </row>
    <row r="12" s="22" customForma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7"/>
    </row>
    <row r="13" s="22" customFormat="1">
      <c r="A13" s="28" t="s">
        <v>46</v>
      </c>
      <c r="B13" s="29">
        <f>'инвестиции'!D13</f>
        <v>554200</v>
      </c>
      <c r="C13" s="30"/>
      <c r="D13" s="1"/>
      <c r="E13" s="1"/>
      <c r="F13" s="1"/>
      <c r="G13" s="1"/>
      <c r="H13" s="1"/>
      <c r="I13" s="1"/>
      <c r="J13" s="1"/>
      <c r="K13" s="1"/>
      <c r="L13" s="1"/>
      <c r="M13" s="1"/>
      <c r="N13" s="17"/>
    </row>
    <row r="14" s="22" customFormat="1">
      <c r="A14" s="28" t="s">
        <v>47</v>
      </c>
      <c r="B14" s="30">
        <f>N8</f>
        <v>259200</v>
      </c>
      <c r="C14" s="30"/>
      <c r="D14" s="1"/>
      <c r="E14" s="1"/>
      <c r="F14" s="1"/>
      <c r="G14" s="1"/>
      <c r="H14" s="1"/>
      <c r="I14" s="1"/>
      <c r="J14" s="1"/>
      <c r="K14" s="1"/>
      <c r="L14" s="1"/>
      <c r="M14" s="1"/>
      <c r="N14" s="17"/>
    </row>
    <row r="15" s="22" customFormat="1">
      <c r="A15" s="31" t="s">
        <v>48</v>
      </c>
      <c r="B15" s="30">
        <f>'план продаж'!N4</f>
        <v>2140</v>
      </c>
      <c r="C15" s="30"/>
      <c r="D15" s="1"/>
      <c r="E15" s="1"/>
      <c r="F15" s="1"/>
      <c r="G15" s="1"/>
      <c r="H15" s="1"/>
      <c r="I15" s="1"/>
      <c r="J15" s="1"/>
      <c r="K15" s="1"/>
      <c r="L15" s="1"/>
      <c r="M15" s="1"/>
      <c r="N15" s="17"/>
    </row>
    <row r="16" s="22" customFormat="1" ht="31.5" customHeight="1">
      <c r="A16" s="28" t="s">
        <v>49</v>
      </c>
      <c r="B16" s="32">
        <f>(B13+B14)/B15</f>
        <v>380.09345794392522</v>
      </c>
      <c r="C16" s="32"/>
      <c r="D16" s="1"/>
      <c r="E16" s="1"/>
      <c r="F16" s="1"/>
      <c r="G16" s="1"/>
      <c r="H16" s="1"/>
      <c r="I16" s="1"/>
      <c r="J16" s="1"/>
      <c r="K16" s="1"/>
      <c r="L16" s="1"/>
      <c r="M16" s="1"/>
      <c r="N16" s="17"/>
    </row>
    <row r="17" s="22" customForma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7"/>
    </row>
    <row r="18" s="22" customFormat="1"/>
  </sheetData>
  <mergeCells count="5">
    <mergeCell ref="A1:B1"/>
    <mergeCell ref="B13:C13"/>
    <mergeCell ref="B14:C14"/>
    <mergeCell ref="B15:C15"/>
    <mergeCell ref="B16:C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defaultRowHeight="15"/>
  <cols>
    <col customWidth="1" min="1" max="1" style="3" width="37.53125"/>
    <col customWidth="1" min="2" max="2" style="33" width="36.58984375"/>
    <col customWidth="1" min="3" max="3" width="30.265625"/>
  </cols>
  <sheetData>
    <row r="1" ht="19.5" customHeight="1">
      <c r="A1" s="34" t="s">
        <v>50</v>
      </c>
      <c r="B1" s="35">
        <f>B2/B3</f>
        <v>0.42921313506815367</v>
      </c>
    </row>
    <row r="2">
      <c r="A2" s="36" t="s">
        <v>51</v>
      </c>
      <c r="B2" s="37">
        <f>'себестоимость игры'!B13</f>
        <v>554200</v>
      </c>
    </row>
    <row r="3">
      <c r="A3" s="38" t="s">
        <v>52</v>
      </c>
      <c r="B3" s="39">
        <f>'план продаж'!N6</f>
        <v>1291200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Васильевна Килина</dc:creator>
  <cp:revision>1</cp:revision>
  <dcterms:created xsi:type="dcterms:W3CDTF">2023-03-16T15:10:09Z</dcterms:created>
  <dcterms:modified xsi:type="dcterms:W3CDTF">2026-05-31T18:06:56Z</dcterms:modified>
</cp:coreProperties>
</file>